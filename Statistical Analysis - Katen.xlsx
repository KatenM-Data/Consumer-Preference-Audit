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5"/>
  </sheets>
  <definedNames/>
  <calcPr/>
</workbook>
</file>

<file path=xl/sharedStrings.xml><?xml version="1.0" encoding="utf-8"?>
<sst xmlns="http://schemas.openxmlformats.org/spreadsheetml/2006/main" count="22" uniqueCount="20">
  <si>
    <t>Coffee Blend A</t>
  </si>
  <si>
    <t>Coffee Blend B</t>
  </si>
  <si>
    <t>Hypothesis</t>
  </si>
  <si>
    <t>Null Hypothesis (H₀): There is no significant difference in the mean satisfaction scores between Blend A and Blend B (The customer does not have a preference between coffee blend A or B)</t>
  </si>
  <si>
    <t>Alternative Hypothesis (H₁): There is a significant difference in the mean satisfaction scores between Blend A and Blend B (The customer does have a preference between coffee A and b)</t>
  </si>
  <si>
    <t>SUMMARY</t>
  </si>
  <si>
    <t>Groups</t>
  </si>
  <si>
    <t>Count</t>
  </si>
  <si>
    <t>Sum</t>
  </si>
  <si>
    <t>Average</t>
  </si>
  <si>
    <t>Variance</t>
  </si>
  <si>
    <t>Median</t>
  </si>
  <si>
    <t>Mode</t>
  </si>
  <si>
    <t>Minimum</t>
  </si>
  <si>
    <t>Maximum</t>
  </si>
  <si>
    <t>Range</t>
  </si>
  <si>
    <t>Quartile 1</t>
  </si>
  <si>
    <t>Quartile 3</t>
  </si>
  <si>
    <t>IQR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</si>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</sst>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00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0"/>
      <name val="Calibri"/>
    </font>
    <font/>
    <font>
      <sz val="11.0"/>
      <color rgb="FF000000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/>
      <top/>
      <bottom/>
    </border>
    <border>
      <top/>
      <bottom/>
    </border>
    <border>
      <left/>
      <top/>
    </border>
    <border>
      <top/>
    </border>
    <border>
      <left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0" fillId="0" fontId="5" numFmtId="4" xfId="0" applyAlignment="1" applyFont="1" applyNumberForma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1"/>
    </xf>
    <xf borderId="3" fillId="3" fontId="2" numFmtId="0" xfId="0" applyAlignment="1" applyBorder="1" applyFill="1" applyFont="1">
      <alignment horizontal="left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4" fontId="2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6" fillId="0" fontId="7" numFmtId="165" xfId="0" applyAlignment="1" applyBorder="1" applyFont="1" applyNumberFormat="1">
      <alignment horizontal="center" vertical="bottom"/>
    </xf>
    <xf borderId="6" fillId="0" fontId="6" numFmtId="165" xfId="0" applyAlignment="1" applyBorder="1" applyFont="1" applyNumberFormat="1">
      <alignment vertical="bottom"/>
    </xf>
    <xf borderId="6" fillId="0" fontId="6" numFmtId="165" xfId="0" applyAlignment="1" applyBorder="1" applyFont="1" applyNumberFormat="1">
      <alignment horizontal="center" vertical="bottom"/>
    </xf>
    <xf borderId="0" fillId="0" fontId="6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7" fillId="0" fontId="6" numFmtId="165" xfId="0" applyAlignment="1" applyBorder="1" applyFont="1" applyNumberFormat="1">
      <alignment vertical="bottom"/>
    </xf>
    <xf borderId="7" fillId="0" fontId="2" numFmtId="165" xfId="0" applyAlignment="1" applyBorder="1" applyFont="1" applyNumberFormat="1">
      <alignment horizontal="right" vertical="bottom"/>
    </xf>
    <xf borderId="7" fillId="0" fontId="2" numFmtId="165" xfId="0" applyAlignment="1" applyBorder="1" applyFont="1" applyNumberFormat="1">
      <alignment horizontal="center" vertical="bottom"/>
    </xf>
    <xf borderId="0" fillId="5" fontId="6" numFmtId="165" xfId="0" applyFill="1" applyFont="1" applyNumberFormat="1"/>
    <xf borderId="0" fillId="5" fontId="2" numFmtId="165" xfId="0" applyFont="1" applyNumberFormat="1"/>
    <xf borderId="0" fillId="0" fontId="8" numFmtId="165" xfId="0" applyFont="1" applyNumberFormat="1"/>
    <xf borderId="0" fillId="0" fontId="2" numFmtId="165" xfId="0" applyAlignment="1" applyFont="1" applyNumberFormat="1">
      <alignment horizontal="center"/>
    </xf>
    <xf borderId="0" fillId="5" fontId="6" numFmtId="0" xfId="0" applyFont="1"/>
    <xf borderId="0" fillId="5" fontId="2" numFmtId="0" xfId="0" applyFont="1"/>
    <xf borderId="0" fillId="0" fontId="2" numFmtId="0" xfId="0" applyAlignment="1" applyFon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9.14"/>
    <col customWidth="1" min="4" max="4" width="8.71"/>
    <col customWidth="1" min="5" max="5" width="25.43"/>
    <col customWidth="1" min="6" max="6" width="11.86"/>
    <col customWidth="1" min="7" max="7" width="11.57"/>
    <col customWidth="1" min="8" max="8" width="8.71"/>
    <col customWidth="1" min="9" max="9" width="13.86"/>
    <col customWidth="1" min="10" max="11" width="8.71"/>
    <col customWidth="1" min="12" max="12" width="10.71"/>
    <col customWidth="1" min="13" max="14" width="8.71"/>
    <col customWidth="1" min="15" max="15" width="12.0"/>
    <col customWidth="1" min="16" max="16" width="10.86"/>
    <col customWidth="1" min="17" max="17" width="8.71"/>
    <col customWidth="1" min="18" max="18" width="17.86"/>
    <col customWidth="1" min="19" max="25" width="8.71"/>
  </cols>
  <sheetData>
    <row r="1" ht="14.25" customHeight="1">
      <c r="A1" s="1" t="s">
        <v>0</v>
      </c>
      <c r="B1" s="2" t="s">
        <v>1</v>
      </c>
      <c r="C1" s="2"/>
      <c r="D1" s="3"/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6">
        <v>8.1</v>
      </c>
      <c r="B2" s="7">
        <v>8.4</v>
      </c>
      <c r="C2" s="7"/>
      <c r="D2" s="8"/>
      <c r="E2" s="9" t="s">
        <v>3</v>
      </c>
      <c r="F2" s="10"/>
      <c r="G2" s="10"/>
      <c r="H2" s="10"/>
      <c r="I2" s="10"/>
      <c r="J2" s="10"/>
      <c r="K2" s="10"/>
      <c r="L2" s="10"/>
      <c r="M2" s="10"/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>
        <v>7.3</v>
      </c>
      <c r="B3" s="7">
        <v>7.5</v>
      </c>
      <c r="C3" s="7"/>
      <c r="D3" s="3"/>
      <c r="E3" s="1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>
        <v>8.3</v>
      </c>
      <c r="B4" s="7">
        <v>7.2</v>
      </c>
      <c r="C4" s="7"/>
      <c r="D4" s="3"/>
      <c r="E4" s="12" t="s">
        <v>4</v>
      </c>
      <c r="F4" s="10"/>
      <c r="G4" s="10"/>
      <c r="H4" s="10"/>
      <c r="I4" s="10"/>
      <c r="J4" s="10"/>
      <c r="K4" s="10"/>
      <c r="L4" s="10"/>
      <c r="M4" s="10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>
        <v>9.3</v>
      </c>
      <c r="B5" s="7">
        <v>8.7</v>
      </c>
      <c r="C5" s="7"/>
      <c r="D5" s="3"/>
      <c r="E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>
        <v>7.2</v>
      </c>
      <c r="B6" s="7">
        <v>9.2</v>
      </c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>
        <v>7.2</v>
      </c>
      <c r="B7" s="7">
        <v>9.1</v>
      </c>
      <c r="C7" s="7"/>
      <c r="D7" s="3"/>
      <c r="E7" s="13" t="s">
        <v>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3"/>
      <c r="T7" s="3"/>
      <c r="U7" s="3"/>
      <c r="V7" s="3"/>
      <c r="W7" s="3"/>
      <c r="X7" s="3"/>
      <c r="Y7" s="3"/>
      <c r="Z7" s="3"/>
    </row>
    <row r="8" ht="14.25" customHeight="1">
      <c r="A8" s="6">
        <v>9.4</v>
      </c>
      <c r="B8" s="7">
        <v>7.0</v>
      </c>
      <c r="C8" s="7"/>
      <c r="D8" s="3"/>
      <c r="E8" s="15" t="s">
        <v>6</v>
      </c>
      <c r="F8" s="15" t="s">
        <v>7</v>
      </c>
      <c r="G8" s="15" t="s">
        <v>8</v>
      </c>
      <c r="H8" s="15" t="s">
        <v>9</v>
      </c>
      <c r="I8" s="15" t="s">
        <v>10</v>
      </c>
      <c r="J8" s="16" t="s">
        <v>11</v>
      </c>
      <c r="K8" s="16" t="s">
        <v>12</v>
      </c>
      <c r="L8" s="17" t="s">
        <v>13</v>
      </c>
      <c r="M8" s="17" t="s">
        <v>14</v>
      </c>
      <c r="N8" s="17" t="s">
        <v>15</v>
      </c>
      <c r="O8" s="17" t="s">
        <v>16</v>
      </c>
      <c r="P8" s="17" t="s">
        <v>17</v>
      </c>
      <c r="Q8" s="17" t="s">
        <v>18</v>
      </c>
      <c r="R8" s="17" t="s">
        <v>19</v>
      </c>
      <c r="S8" s="3"/>
      <c r="T8" s="3"/>
      <c r="U8" s="3"/>
      <c r="V8" s="3"/>
      <c r="W8" s="3"/>
      <c r="X8" s="3"/>
      <c r="Y8" s="3"/>
      <c r="Z8" s="3"/>
    </row>
    <row r="9" ht="14.25" customHeight="1">
      <c r="A9" s="6">
        <v>8.4</v>
      </c>
      <c r="B9" s="7">
        <v>7.6</v>
      </c>
      <c r="C9" s="7"/>
      <c r="D9" s="3"/>
      <c r="E9" s="18" t="s">
        <v>0</v>
      </c>
      <c r="F9" s="19">
        <f t="shared" ref="F9:F10" si="1">COUNT(A:A)</f>
        <v>50</v>
      </c>
      <c r="G9" s="19">
        <f>SUM(A2:A51)</f>
        <v>361.1</v>
      </c>
      <c r="H9" s="19">
        <f>AVERAGE(A2:A51)</f>
        <v>7.222</v>
      </c>
      <c r="I9" s="19">
        <f>_xlfn.VAR.S(A2:A51)</f>
        <v>1.276853061</v>
      </c>
      <c r="J9" s="20">
        <f>MEDIAN(A2:A51)</f>
        <v>7.2</v>
      </c>
      <c r="K9" s="20">
        <f>MODE(A2:A51)</f>
        <v>6.9</v>
      </c>
      <c r="L9" s="20">
        <f>MIN(A2:A51)</f>
        <v>5.1</v>
      </c>
      <c r="M9" s="20">
        <f>MAX(A2:A51)</f>
        <v>9.7</v>
      </c>
      <c r="N9" s="20">
        <f t="shared" ref="N9:N10" si="2">M9-L9</f>
        <v>4.6</v>
      </c>
      <c r="O9" s="20">
        <f>_xlfn.QUARTILE.INC(A2:A51,1)</f>
        <v>6.45</v>
      </c>
      <c r="P9" s="20">
        <f>_xlfn.QUARTILE.INC(A2:A51,3)</f>
        <v>7.9</v>
      </c>
      <c r="Q9" s="20">
        <f t="shared" ref="Q9:Q10" si="3">P9-O9</f>
        <v>1.45</v>
      </c>
      <c r="R9" s="20">
        <f>_xlfn.STDEV.S(A2:A51)</f>
        <v>1.12997923</v>
      </c>
      <c r="S9" s="3"/>
      <c r="T9" s="3"/>
      <c r="U9" s="3"/>
      <c r="V9" s="3"/>
      <c r="W9" s="3"/>
      <c r="X9" s="3"/>
      <c r="Y9" s="3"/>
      <c r="Z9" s="3"/>
    </row>
    <row r="10" ht="14.25" customHeight="1">
      <c r="A10" s="6">
        <v>6.9</v>
      </c>
      <c r="B10" s="7">
        <v>8.4</v>
      </c>
      <c r="C10" s="7"/>
      <c r="D10" s="3"/>
      <c r="E10" s="18" t="s">
        <v>1</v>
      </c>
      <c r="F10" s="19">
        <f t="shared" si="1"/>
        <v>50</v>
      </c>
      <c r="G10" s="19">
        <f>SUM(B2:B51)</f>
        <v>400.9</v>
      </c>
      <c r="H10" s="19">
        <f>AVERAGE(B2:B51)</f>
        <v>8.018</v>
      </c>
      <c r="I10" s="19">
        <f>_xlfn.VAR.S(B2:B51)</f>
        <v>1.096608163</v>
      </c>
      <c r="J10" s="20">
        <f>MEDIAN(B2:B51)</f>
        <v>8.05</v>
      </c>
      <c r="K10" s="20">
        <f>MODE(B2:B51)</f>
        <v>8.4</v>
      </c>
      <c r="L10" s="20">
        <f>MIN(B2:B51)</f>
        <v>4.9</v>
      </c>
      <c r="M10" s="20">
        <f>MAX(B2:B51)</f>
        <v>9.9</v>
      </c>
      <c r="N10" s="20">
        <f t="shared" si="2"/>
        <v>5</v>
      </c>
      <c r="O10" s="20">
        <f>_xlfn.QUARTILE.INC(B2:B51,1)</f>
        <v>7.4</v>
      </c>
      <c r="P10" s="20">
        <f>_xlfn.QUARTILE.INC(B2:B51,3)</f>
        <v>8.675</v>
      </c>
      <c r="Q10" s="20">
        <f t="shared" si="3"/>
        <v>1.275</v>
      </c>
      <c r="R10" s="20">
        <f>_xlfn.STDEV.S(B2:B51)</f>
        <v>1.047190605</v>
      </c>
      <c r="S10" s="3"/>
      <c r="T10" s="3"/>
      <c r="U10" s="3"/>
      <c r="V10" s="3"/>
      <c r="W10" s="3"/>
      <c r="X10" s="3"/>
      <c r="Y10" s="3"/>
      <c r="Z10" s="3"/>
    </row>
    <row r="11" ht="14.25" customHeight="1">
      <c r="A11" s="6">
        <v>8.2</v>
      </c>
      <c r="B11" s="7">
        <v>9.2</v>
      </c>
      <c r="C11" s="7"/>
      <c r="D11" s="3"/>
      <c r="E11" s="21"/>
      <c r="F11" s="22"/>
      <c r="G11" s="22"/>
      <c r="H11" s="22"/>
      <c r="I11" s="22"/>
      <c r="J11" s="23"/>
      <c r="K11" s="23"/>
      <c r="L11" s="23"/>
      <c r="M11" s="23"/>
      <c r="N11" s="23"/>
      <c r="O11" s="23"/>
      <c r="P11" s="23"/>
      <c r="Q11" s="23"/>
      <c r="R11" s="2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6">
        <v>6.9</v>
      </c>
      <c r="B12" s="7">
        <v>7.4</v>
      </c>
      <c r="C12" s="7"/>
      <c r="D12" s="3"/>
      <c r="E12" s="24"/>
      <c r="F12" s="25"/>
      <c r="G12" s="25"/>
      <c r="H12" s="26"/>
      <c r="I12" s="26"/>
      <c r="J12" s="26"/>
      <c r="K12" s="26"/>
      <c r="L12" s="27"/>
      <c r="M12" s="27"/>
      <c r="N12" s="27"/>
      <c r="O12" s="27"/>
      <c r="P12" s="27"/>
      <c r="Q12" s="27"/>
      <c r="R12" s="27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6">
        <v>6.9</v>
      </c>
      <c r="B13" s="7">
        <v>7.8</v>
      </c>
      <c r="C13" s="7"/>
      <c r="D13" s="3"/>
      <c r="E13" s="24"/>
      <c r="F13" s="25"/>
      <c r="G13" s="25"/>
      <c r="H13" s="26"/>
      <c r="I13" s="26"/>
      <c r="J13" s="26"/>
      <c r="K13" s="26"/>
      <c r="L13" s="27"/>
      <c r="M13" s="27"/>
      <c r="N13" s="27"/>
      <c r="O13" s="27"/>
      <c r="P13" s="27"/>
      <c r="Q13" s="27"/>
      <c r="R13" s="27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6">
        <v>7.8</v>
      </c>
      <c r="B14" s="7">
        <v>6.7</v>
      </c>
      <c r="C14" s="7"/>
      <c r="D14" s="3"/>
      <c r="E14" s="28"/>
      <c r="F14" s="29"/>
      <c r="G14" s="2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6">
        <v>5.2</v>
      </c>
      <c r="B15" s="7">
        <v>6.6</v>
      </c>
      <c r="C15" s="7"/>
      <c r="D15" s="3"/>
      <c r="E15" s="29"/>
      <c r="F15" s="29"/>
      <c r="G15" s="2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6">
        <v>5.4</v>
      </c>
      <c r="B16" s="7">
        <v>9.0</v>
      </c>
      <c r="C16" s="7"/>
      <c r="D16" s="3"/>
      <c r="E16" s="29"/>
      <c r="F16" s="29"/>
      <c r="G16" s="2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6">
        <v>6.8</v>
      </c>
      <c r="B17" s="7">
        <v>9.6</v>
      </c>
      <c r="C17" s="7"/>
      <c r="D17" s="3"/>
      <c r="E17" s="29"/>
      <c r="F17" s="29"/>
      <c r="G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6">
        <v>6.3</v>
      </c>
      <c r="B18" s="7">
        <v>7.9</v>
      </c>
      <c r="C18" s="7"/>
      <c r="D18" s="3"/>
      <c r="E18" s="29"/>
      <c r="F18" s="29"/>
      <c r="G18" s="2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6">
        <v>7.9</v>
      </c>
      <c r="B19" s="7">
        <v>9.2</v>
      </c>
      <c r="C19" s="7"/>
      <c r="D19" s="3"/>
      <c r="E19" s="29"/>
      <c r="F19" s="29"/>
      <c r="G19" s="2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6">
        <v>6.4</v>
      </c>
      <c r="B20" s="7">
        <v>8.4</v>
      </c>
      <c r="C20" s="7"/>
      <c r="D20" s="3"/>
      <c r="E20" s="29"/>
      <c r="F20" s="29"/>
      <c r="G20" s="2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6">
        <v>5.8</v>
      </c>
      <c r="B21" s="7">
        <v>7.2</v>
      </c>
      <c r="C21" s="7"/>
      <c r="D21" s="3"/>
      <c r="E21" s="29"/>
      <c r="F21" s="29"/>
      <c r="G21" s="2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6">
        <v>9.3</v>
      </c>
      <c r="B22" s="7">
        <v>8.4</v>
      </c>
      <c r="C22" s="7"/>
      <c r="D22" s="3"/>
      <c r="E22" s="29"/>
      <c r="F22" s="29"/>
      <c r="G22" s="2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6">
        <v>7.2</v>
      </c>
      <c r="B23" s="7">
        <v>9.8</v>
      </c>
      <c r="C23" s="7"/>
      <c r="D23" s="3"/>
      <c r="E23" s="29"/>
      <c r="F23" s="29"/>
      <c r="G23" s="29"/>
      <c r="H23" s="30"/>
      <c r="I23" s="3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6">
        <v>7.6</v>
      </c>
      <c r="B24" s="7">
        <v>8.0</v>
      </c>
      <c r="C24" s="7"/>
      <c r="D24" s="3"/>
      <c r="E24" s="29"/>
      <c r="F24" s="29"/>
      <c r="G24" s="29"/>
      <c r="H24" s="31"/>
      <c r="I24" s="31"/>
      <c r="J24" s="31"/>
      <c r="K24" s="3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6">
        <v>5.8</v>
      </c>
      <c r="B25" s="7">
        <v>9.9</v>
      </c>
      <c r="C25" s="7"/>
      <c r="D25" s="3"/>
      <c r="E25" s="29"/>
      <c r="F25" s="29"/>
      <c r="G25" s="29"/>
      <c r="H25" s="31"/>
      <c r="I25" s="31"/>
      <c r="J25" s="31"/>
      <c r="K25" s="3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6">
        <v>6.8</v>
      </c>
      <c r="B26" s="7">
        <v>4.9</v>
      </c>
      <c r="C26" s="7"/>
      <c r="D26" s="3"/>
      <c r="E26" s="29"/>
      <c r="F26" s="29"/>
      <c r="G26" s="29"/>
      <c r="H26" s="31"/>
      <c r="I26" s="31"/>
      <c r="J26" s="31"/>
      <c r="K26" s="3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6">
        <v>7.6</v>
      </c>
      <c r="B27" s="7">
        <v>9.0</v>
      </c>
      <c r="C27" s="7"/>
      <c r="D27" s="3"/>
      <c r="E27" s="29"/>
      <c r="F27" s="29"/>
      <c r="G27" s="29"/>
      <c r="H27" s="31"/>
      <c r="I27" s="31"/>
      <c r="J27" s="31"/>
      <c r="K27" s="3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6">
        <v>6.1</v>
      </c>
      <c r="B28" s="7">
        <v>8.1</v>
      </c>
      <c r="C28" s="7"/>
      <c r="D28" s="3"/>
      <c r="E28" s="29"/>
      <c r="F28" s="29"/>
      <c r="G28" s="29"/>
      <c r="H28" s="31"/>
      <c r="I28" s="31"/>
      <c r="J28" s="31"/>
      <c r="K28" s="3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6">
        <v>8.0</v>
      </c>
      <c r="B29" s="7">
        <v>7.6</v>
      </c>
      <c r="C29" s="7"/>
      <c r="D29" s="3"/>
      <c r="E29" s="29"/>
      <c r="F29" s="29"/>
      <c r="G29" s="29"/>
      <c r="H29" s="31"/>
      <c r="I29" s="31"/>
      <c r="J29" s="31"/>
      <c r="K29" s="3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6">
        <v>6.8</v>
      </c>
      <c r="B30" s="7">
        <v>8.1</v>
      </c>
      <c r="C30" s="7"/>
      <c r="D30" s="3"/>
      <c r="E30" s="29"/>
      <c r="F30" s="29"/>
      <c r="G30" s="29"/>
      <c r="H30" s="31"/>
      <c r="I30" s="31"/>
      <c r="J30" s="31"/>
      <c r="K30" s="3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6">
        <v>7.1</v>
      </c>
      <c r="B31" s="7">
        <v>5.6</v>
      </c>
      <c r="C31" s="7"/>
      <c r="D31" s="3"/>
      <c r="E31" s="29"/>
      <c r="F31" s="29"/>
      <c r="G31" s="29"/>
      <c r="H31" s="30"/>
      <c r="I31" s="3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6">
        <v>6.8</v>
      </c>
      <c r="B32" s="7">
        <v>7.7</v>
      </c>
      <c r="C32" s="7"/>
      <c r="D32" s="3"/>
      <c r="H32" s="30"/>
      <c r="I32" s="3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6">
        <v>9.7</v>
      </c>
      <c r="B33" s="7">
        <v>8.4</v>
      </c>
      <c r="C33" s="7"/>
      <c r="D33" s="3"/>
      <c r="E33" s="30"/>
      <c r="F33" s="30"/>
      <c r="G33" s="30"/>
      <c r="H33" s="30"/>
      <c r="I33" s="3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6">
        <v>7.5</v>
      </c>
      <c r="B34" s="7">
        <v>9.8</v>
      </c>
      <c r="C34" s="7"/>
      <c r="D34" s="3"/>
      <c r="E34" s="30"/>
      <c r="F34" s="30"/>
      <c r="G34" s="30"/>
      <c r="H34" s="30"/>
      <c r="I34" s="3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6">
        <v>6.2</v>
      </c>
      <c r="B35" s="7">
        <v>7.4</v>
      </c>
      <c r="C35" s="7"/>
      <c r="D35" s="3"/>
      <c r="E35" s="30"/>
      <c r="F35" s="30"/>
      <c r="G35" s="30"/>
      <c r="H35" s="30"/>
      <c r="I35" s="3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6">
        <v>8.5</v>
      </c>
      <c r="B36" s="7">
        <v>7.0</v>
      </c>
      <c r="C36" s="7"/>
      <c r="D36" s="3"/>
      <c r="E36" s="30"/>
      <c r="F36" s="30"/>
      <c r="G36" s="30"/>
      <c r="H36" s="30"/>
      <c r="I36" s="3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6">
        <v>6.0</v>
      </c>
      <c r="B37" s="7">
        <v>7.4</v>
      </c>
      <c r="C37" s="7"/>
      <c r="D37" s="3"/>
      <c r="E37" s="30"/>
      <c r="F37" s="30"/>
      <c r="G37" s="30"/>
      <c r="H37" s="30"/>
      <c r="I37" s="3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6">
        <v>7.8</v>
      </c>
      <c r="B38" s="7">
        <v>9.1</v>
      </c>
      <c r="C38" s="7"/>
      <c r="D38" s="3"/>
      <c r="E38" s="30"/>
      <c r="F38" s="30"/>
      <c r="G38" s="30"/>
      <c r="H38" s="30"/>
      <c r="I38" s="3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6">
        <v>5.1</v>
      </c>
      <c r="B39" s="7">
        <v>8.4</v>
      </c>
      <c r="C39" s="7"/>
      <c r="D39" s="3"/>
      <c r="E39" s="30"/>
      <c r="F39" s="30"/>
      <c r="G39" s="30"/>
      <c r="H39" s="30"/>
      <c r="I39" s="3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6">
        <v>5.9</v>
      </c>
      <c r="B40" s="7">
        <v>7.4</v>
      </c>
      <c r="C40" s="7"/>
      <c r="D40" s="3"/>
      <c r="E40" s="30"/>
      <c r="F40" s="30"/>
      <c r="G40" s="30"/>
      <c r="H40" s="30"/>
      <c r="I40" s="3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6">
        <v>7.7</v>
      </c>
      <c r="B41" s="7">
        <v>8.6</v>
      </c>
      <c r="C41" s="7"/>
      <c r="D41" s="3"/>
      <c r="E41" s="30"/>
      <c r="F41" s="30"/>
      <c r="G41" s="30"/>
      <c r="H41" s="30"/>
      <c r="I41" s="3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6">
        <v>8.4</v>
      </c>
      <c r="B42" s="7">
        <v>8.1</v>
      </c>
      <c r="C42" s="7"/>
      <c r="D42" s="3"/>
      <c r="E42" s="3"/>
      <c r="F42" s="3"/>
      <c r="G42" s="30"/>
      <c r="H42" s="30"/>
      <c r="I42" s="3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6">
        <v>7.7</v>
      </c>
      <c r="B43" s="7">
        <v>9.2</v>
      </c>
      <c r="C43" s="7"/>
      <c r="D43" s="3"/>
      <c r="E43" s="3"/>
      <c r="F43" s="3"/>
      <c r="G43" s="3"/>
      <c r="H43" s="30"/>
      <c r="I43" s="3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6">
        <v>7.4</v>
      </c>
      <c r="B44" s="7">
        <v>7.2</v>
      </c>
      <c r="C44" s="7"/>
      <c r="D44" s="3"/>
      <c r="E44" s="3"/>
      <c r="F44" s="3"/>
      <c r="G44" s="3"/>
      <c r="H44" s="30"/>
      <c r="I44" s="3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6">
        <v>7.1</v>
      </c>
      <c r="B45" s="7">
        <v>7.6</v>
      </c>
      <c r="C45" s="7"/>
      <c r="D45" s="3"/>
      <c r="E45" s="3"/>
      <c r="F45" s="3"/>
      <c r="G45" s="3"/>
      <c r="H45" s="30"/>
      <c r="I45" s="3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6">
        <v>5.7</v>
      </c>
      <c r="B46" s="7">
        <v>7.5</v>
      </c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6">
        <v>6.6</v>
      </c>
      <c r="B47" s="7">
        <v>6.2</v>
      </c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6">
        <v>6.9</v>
      </c>
      <c r="B48" s="7">
        <v>8.4</v>
      </c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6">
        <v>8.8</v>
      </c>
      <c r="B49" s="7">
        <v>8.3</v>
      </c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6">
        <v>7.9</v>
      </c>
      <c r="B50" s="7">
        <v>8.0</v>
      </c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6">
        <v>5.4</v>
      </c>
      <c r="B51" s="7">
        <v>7.7</v>
      </c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6"/>
      <c r="B52" s="7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6"/>
      <c r="B53" s="7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6"/>
      <c r="B54" s="7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6"/>
      <c r="B55" s="7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6"/>
      <c r="B56" s="7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6"/>
      <c r="B57" s="7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6"/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6"/>
      <c r="B59" s="7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6"/>
      <c r="B60" s="7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6"/>
      <c r="B61" s="7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6"/>
      <c r="B62" s="7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6"/>
      <c r="B63" s="7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6"/>
      <c r="B64" s="7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6"/>
      <c r="B65" s="7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6"/>
      <c r="B66" s="7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6"/>
      <c r="B67" s="7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6"/>
      <c r="B68" s="7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6"/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6"/>
      <c r="B70" s="7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6"/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6"/>
      <c r="B72" s="7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6"/>
      <c r="B73" s="7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6"/>
      <c r="B74" s="7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6"/>
      <c r="B75" s="7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6"/>
      <c r="B76" s="7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6"/>
      <c r="B77" s="7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6"/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6"/>
      <c r="B79" s="7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6"/>
      <c r="B80" s="7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6"/>
      <c r="B81" s="7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6"/>
      <c r="B82" s="7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6"/>
      <c r="B83" s="7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6"/>
      <c r="B84" s="7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6"/>
      <c r="B85" s="7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6"/>
      <c r="B86" s="7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6"/>
      <c r="B87" s="7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6"/>
      <c r="B88" s="7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6"/>
      <c r="B89" s="7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6"/>
      <c r="B90" s="7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6"/>
      <c r="B91" s="7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6"/>
      <c r="B92" s="7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6"/>
      <c r="B93" s="7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6"/>
      <c r="B94" s="7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6"/>
      <c r="B95" s="7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6"/>
      <c r="B96" s="7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6"/>
      <c r="B97" s="7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6"/>
      <c r="B98" s="7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6"/>
      <c r="B99" s="7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6"/>
      <c r="B100" s="7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6"/>
      <c r="B101" s="7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2"/>
      <c r="B102" s="33"/>
      <c r="C102" s="3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2"/>
      <c r="B103" s="33"/>
      <c r="C103" s="3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2"/>
      <c r="B104" s="33"/>
      <c r="C104" s="3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2"/>
      <c r="B105" s="33"/>
      <c r="C105" s="3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2"/>
      <c r="B106" s="33"/>
      <c r="C106" s="3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2"/>
      <c r="B107" s="33"/>
      <c r="C107" s="3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2"/>
      <c r="B108" s="33"/>
      <c r="C108" s="3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2"/>
      <c r="B109" s="33"/>
      <c r="C109" s="3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2"/>
      <c r="B110" s="33"/>
      <c r="C110" s="3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2"/>
      <c r="B111" s="33"/>
      <c r="C111" s="3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2"/>
      <c r="B112" s="33"/>
      <c r="C112" s="3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2"/>
      <c r="B113" s="33"/>
      <c r="C113" s="3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2"/>
      <c r="B114" s="33"/>
      <c r="C114" s="3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2"/>
      <c r="B115" s="33"/>
      <c r="C115" s="3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2"/>
      <c r="B116" s="33"/>
      <c r="C116" s="3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2"/>
      <c r="B117" s="33"/>
      <c r="C117" s="3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2"/>
      <c r="B118" s="33"/>
      <c r="C118" s="3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2"/>
      <c r="B119" s="33"/>
      <c r="C119" s="3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2"/>
      <c r="B120" s="33"/>
      <c r="C120" s="3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2"/>
      <c r="B121" s="33"/>
      <c r="C121" s="3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2"/>
      <c r="B122" s="33"/>
      <c r="C122" s="3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2"/>
      <c r="B123" s="33"/>
      <c r="C123" s="3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2"/>
      <c r="B124" s="33"/>
      <c r="C124" s="3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2"/>
      <c r="B125" s="33"/>
      <c r="C125" s="3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2"/>
      <c r="B126" s="33"/>
      <c r="C126" s="3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2"/>
      <c r="B127" s="33"/>
      <c r="C127" s="3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2"/>
      <c r="B128" s="33"/>
      <c r="C128" s="3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2"/>
      <c r="B129" s="33"/>
      <c r="C129" s="3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2"/>
      <c r="B130" s="33"/>
      <c r="C130" s="3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2"/>
      <c r="B131" s="33"/>
      <c r="C131" s="3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2"/>
      <c r="B132" s="33"/>
      <c r="C132" s="3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2"/>
      <c r="B133" s="33"/>
      <c r="C133" s="3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2"/>
      <c r="B134" s="33"/>
      <c r="C134" s="3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2"/>
      <c r="B135" s="33"/>
      <c r="C135" s="3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2"/>
      <c r="B136" s="33"/>
      <c r="C136" s="3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2"/>
      <c r="B137" s="33"/>
      <c r="C137" s="3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2"/>
      <c r="B138" s="33"/>
      <c r="C138" s="3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2"/>
      <c r="B139" s="33"/>
      <c r="C139" s="3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2"/>
      <c r="B140" s="33"/>
      <c r="C140" s="3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2"/>
      <c r="B141" s="33"/>
      <c r="C141" s="3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2"/>
      <c r="B142" s="33"/>
      <c r="C142" s="3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2"/>
      <c r="B143" s="33"/>
      <c r="C143" s="3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2"/>
      <c r="B144" s="33"/>
      <c r="C144" s="3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2"/>
      <c r="B145" s="33"/>
      <c r="C145" s="3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2"/>
      <c r="B146" s="33"/>
      <c r="C146" s="3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2"/>
      <c r="B147" s="33"/>
      <c r="C147" s="3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2"/>
      <c r="B148" s="33"/>
      <c r="C148" s="3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2"/>
      <c r="B149" s="33"/>
      <c r="C149" s="3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2"/>
      <c r="B150" s="33"/>
      <c r="C150" s="3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2"/>
      <c r="B151" s="33"/>
      <c r="C151" s="3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2"/>
      <c r="B152" s="33"/>
      <c r="C152" s="3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2"/>
      <c r="B153" s="33"/>
      <c r="C153" s="3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2"/>
      <c r="B154" s="33"/>
      <c r="C154" s="3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2"/>
      <c r="B155" s="33"/>
      <c r="C155" s="3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2"/>
      <c r="B156" s="33"/>
      <c r="C156" s="3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2"/>
      <c r="B157" s="33"/>
      <c r="C157" s="3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2"/>
      <c r="B158" s="33"/>
      <c r="C158" s="3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2"/>
      <c r="B159" s="33"/>
      <c r="C159" s="3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2"/>
      <c r="B160" s="33"/>
      <c r="C160" s="3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2"/>
      <c r="B161" s="33"/>
      <c r="C161" s="3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2"/>
      <c r="B162" s="33"/>
      <c r="C162" s="3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2"/>
      <c r="B163" s="33"/>
      <c r="C163" s="3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2"/>
      <c r="B164" s="33"/>
      <c r="C164" s="3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2"/>
      <c r="B165" s="33"/>
      <c r="C165" s="3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2"/>
      <c r="B166" s="33"/>
      <c r="C166" s="3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2"/>
      <c r="B167" s="33"/>
      <c r="C167" s="3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2"/>
      <c r="B168" s="33"/>
      <c r="C168" s="3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2"/>
      <c r="B169" s="33"/>
      <c r="C169" s="3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2"/>
      <c r="B170" s="33"/>
      <c r="C170" s="3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2"/>
      <c r="B171" s="33"/>
      <c r="C171" s="3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2"/>
      <c r="B172" s="33"/>
      <c r="C172" s="3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2"/>
      <c r="B173" s="33"/>
      <c r="C173" s="3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2"/>
      <c r="B174" s="33"/>
      <c r="C174" s="3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2"/>
      <c r="B175" s="33"/>
      <c r="C175" s="3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2"/>
      <c r="B176" s="33"/>
      <c r="C176" s="3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2"/>
      <c r="B177" s="33"/>
      <c r="C177" s="3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2"/>
      <c r="B178" s="33"/>
      <c r="C178" s="3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2"/>
      <c r="B179" s="33"/>
      <c r="C179" s="3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2"/>
      <c r="B180" s="33"/>
      <c r="C180" s="3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2"/>
      <c r="B181" s="33"/>
      <c r="C181" s="3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2"/>
      <c r="B182" s="33"/>
      <c r="C182" s="3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2"/>
      <c r="B183" s="33"/>
      <c r="C183" s="3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2"/>
      <c r="B184" s="33"/>
      <c r="C184" s="3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2"/>
      <c r="B185" s="33"/>
      <c r="C185" s="3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2"/>
      <c r="B186" s="33"/>
      <c r="C186" s="3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2"/>
      <c r="B187" s="33"/>
      <c r="C187" s="3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2"/>
      <c r="B188" s="33"/>
      <c r="C188" s="3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2"/>
      <c r="B189" s="33"/>
      <c r="C189" s="3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2"/>
      <c r="B190" s="33"/>
      <c r="C190" s="3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2"/>
      <c r="B191" s="33"/>
      <c r="C191" s="3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2"/>
      <c r="B192" s="33"/>
      <c r="C192" s="3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2"/>
      <c r="B193" s="33"/>
      <c r="C193" s="3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2"/>
      <c r="B194" s="33"/>
      <c r="C194" s="3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2"/>
      <c r="B195" s="33"/>
      <c r="C195" s="3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2"/>
      <c r="B196" s="33"/>
      <c r="C196" s="3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2"/>
      <c r="B197" s="33"/>
      <c r="C197" s="3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2"/>
      <c r="B198" s="33"/>
      <c r="C198" s="3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2"/>
      <c r="B199" s="33"/>
      <c r="C199" s="3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2"/>
      <c r="B200" s="33"/>
      <c r="C200" s="3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2"/>
      <c r="B201" s="33"/>
      <c r="C201" s="3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2"/>
      <c r="B202" s="33"/>
      <c r="C202" s="3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2"/>
      <c r="B203" s="33"/>
      <c r="C203" s="3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2"/>
      <c r="B204" s="33"/>
      <c r="C204" s="3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2"/>
      <c r="B205" s="33"/>
      <c r="C205" s="3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2"/>
      <c r="B206" s="33"/>
      <c r="C206" s="3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2"/>
      <c r="B207" s="33"/>
      <c r="C207" s="3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2"/>
      <c r="B208" s="33"/>
      <c r="C208" s="3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2"/>
      <c r="B209" s="33"/>
      <c r="C209" s="3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2"/>
      <c r="B210" s="33"/>
      <c r="C210" s="3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2"/>
      <c r="B211" s="33"/>
      <c r="C211" s="3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2"/>
      <c r="B212" s="33"/>
      <c r="C212" s="3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2"/>
      <c r="B213" s="33"/>
      <c r="C213" s="3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2"/>
      <c r="B214" s="33"/>
      <c r="C214" s="3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2"/>
      <c r="B215" s="33"/>
      <c r="C215" s="3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2"/>
      <c r="B216" s="33"/>
      <c r="C216" s="3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2"/>
      <c r="B217" s="33"/>
      <c r="C217" s="3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2"/>
      <c r="B218" s="33"/>
      <c r="C218" s="3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2"/>
      <c r="B219" s="33"/>
      <c r="C219" s="3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2"/>
      <c r="B220" s="33"/>
      <c r="C220" s="3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2"/>
      <c r="B221" s="33"/>
      <c r="C221" s="3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2"/>
      <c r="B222" s="33"/>
      <c r="C222" s="3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2"/>
      <c r="B223" s="33"/>
      <c r="C223" s="3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2"/>
      <c r="B224" s="33"/>
      <c r="C224" s="3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2"/>
      <c r="B225" s="33"/>
      <c r="C225" s="3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2"/>
      <c r="B226" s="33"/>
      <c r="C226" s="3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2"/>
      <c r="B227" s="33"/>
      <c r="C227" s="3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2"/>
      <c r="B228" s="33"/>
      <c r="C228" s="3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2"/>
      <c r="B229" s="33"/>
      <c r="C229" s="3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2"/>
      <c r="B230" s="33"/>
      <c r="C230" s="3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2"/>
      <c r="B231" s="33"/>
      <c r="C231" s="3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2"/>
      <c r="B232" s="33"/>
      <c r="C232" s="3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2"/>
      <c r="B233" s="33"/>
      <c r="C233" s="3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2"/>
      <c r="B234" s="33"/>
      <c r="C234" s="3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2"/>
      <c r="B235" s="33"/>
      <c r="C235" s="3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2"/>
      <c r="B236" s="33"/>
      <c r="C236" s="3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2"/>
      <c r="B237" s="33"/>
      <c r="C237" s="3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2"/>
      <c r="B238" s="33"/>
      <c r="C238" s="3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2"/>
      <c r="B239" s="33"/>
      <c r="C239" s="3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2"/>
      <c r="B240" s="33"/>
      <c r="C240" s="3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2"/>
      <c r="B241" s="33"/>
      <c r="C241" s="3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2"/>
      <c r="B242" s="33"/>
      <c r="C242" s="3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2"/>
      <c r="B243" s="33"/>
      <c r="C243" s="3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2"/>
      <c r="B244" s="33"/>
      <c r="C244" s="3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2"/>
      <c r="B245" s="33"/>
      <c r="C245" s="3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2"/>
      <c r="B246" s="33"/>
      <c r="C246" s="3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2"/>
      <c r="B247" s="33"/>
      <c r="C247" s="3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2"/>
      <c r="B248" s="33"/>
      <c r="C248" s="3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2"/>
      <c r="B249" s="33"/>
      <c r="C249" s="3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2"/>
      <c r="B250" s="33"/>
      <c r="C250" s="3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2"/>
      <c r="B251" s="33"/>
      <c r="C251" s="3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1:N1"/>
    <mergeCell ref="E2:N3"/>
    <mergeCell ref="E4:N5"/>
  </mergeCells>
  <printOptions/>
  <pageMargins bottom="0.75" footer="0.0" header="0.0" left="0.7" right="0.7" top="0.75"/>
  <pageSetup paperSize="9" orientation="portrait"/>
  <drawing r:id="rId1"/>
</worksheet>
</file>